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:\Drive condivisi\e-Nable Italia\R_and_D_Projects\github\HW_Bionic_boards_it#3\BOM\"/>
    </mc:Choice>
  </mc:AlternateContent>
  <xr:revisionPtr revIDLastSave="0" documentId="13_ncr:1_{32505756-BAC0-401A-84CF-53A7548EA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Sheet1!$A$6:$I$44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64421-221E-4205-A005-EABAA02F4C37}" keepAlive="1" name="Query - DRV8411A Module Rev  A" description="Connection to the 'DRV8411A Module Rev  A' query in the workbook." type="5" refreshedVersion="0" background="1">
    <dbPr connection="Provider=Microsoft.Mashup.OleDb.1;Data Source=$Workbook$;Location=&quot;DRV8411A Module Rev  A&quot;;Extended Properties=&quot;&quot;" command="SELECT * FROM [DRV8411A Module Rev  A]"/>
  </connection>
  <connection id="2" xr16:uid="{C23814DE-7B48-43F6-AEC9-9F0AE8568520}" keepAlive="1" name="Query - EMG - Module - Rev  B" description="Connection to the 'EMG - Module - Rev  B' query in the workbook." type="5" refreshedVersion="0" background="1">
    <dbPr connection="Provider=Microsoft.Mashup.OleDb.1;Data Source=$Workbook$;Location=&quot;EMG - Module - Rev  B&quot;;Extended Properties=&quot;&quot;" command="SELECT * FROM [EMG - Module - Rev  B]"/>
  </connection>
  <connection id="3" xr16:uid="{A709717A-9F3B-4F25-A89B-4A25ED19E826}" keepAlive="1" name="Query - EMG - Module - Rev  B (2)" description="Connection to the 'EMG - Module - Rev  B (2)' query in the workbook." type="5" refreshedVersion="0" background="1">
    <dbPr connection="Provider=Microsoft.Mashup.OleDb.1;Data Source=$Workbook$;Location=&quot;EMG - Module - Rev  B (2)&quot;;Extended Properties=&quot;&quot;" command="SELECT * FROM [EMG - Module - Rev  B (2)]"/>
  </connection>
</connections>
</file>

<file path=xl/sharedStrings.xml><?xml version="1.0" encoding="utf-8"?>
<sst xmlns="http://schemas.openxmlformats.org/spreadsheetml/2006/main" count="238" uniqueCount="171">
  <si>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</si>
  <si>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</si>
  <si>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</si>
  <si>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</si>
  <si>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</si>
  <si>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</si>
  <si>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</si>
  <si>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</si>
  <si>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</si>
  <si>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</si>
  <si>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Panasonic</t>
  </si>
  <si>
    <t>Murata</t>
  </si>
  <si>
    <t>Need a quick and accurante quote? Need an efficient production? Please read SMT Ordering Necessary Files &amp; Info in 1 minute. Thank you very much!</t>
  </si>
  <si>
    <t>Click for Instructions on How to Create a BOM</t>
  </si>
  <si>
    <t>BOM</t>
  </si>
  <si>
    <t>DNS</t>
  </si>
  <si>
    <t xml:space="preserve">R5                </t>
  </si>
  <si>
    <t xml:space="preserve">C1, C3, C9        </t>
  </si>
  <si>
    <t xml:space="preserve">R13               </t>
  </si>
  <si>
    <t xml:space="preserve">C4                </t>
  </si>
  <si>
    <t xml:space="preserve">R8                </t>
  </si>
  <si>
    <t xml:space="preserve">R9                </t>
  </si>
  <si>
    <t xml:space="preserve">C12               </t>
  </si>
  <si>
    <t xml:space="preserve">C11               </t>
  </si>
  <si>
    <t xml:space="preserve">C2                </t>
  </si>
  <si>
    <t xml:space="preserve">C6, C7, C10       </t>
  </si>
  <si>
    <t xml:space="preserve">R12               </t>
  </si>
  <si>
    <t xml:space="preserve">R10               </t>
  </si>
  <si>
    <t xml:space="preserve">C5                </t>
  </si>
  <si>
    <t xml:space="preserve">B+, B-, IN+, IN-  </t>
  </si>
  <si>
    <t xml:space="preserve">R6, R7            </t>
  </si>
  <si>
    <t xml:space="preserve">C8                </t>
  </si>
  <si>
    <t xml:space="preserve">J3-ATOM-RIGHT     </t>
  </si>
  <si>
    <t xml:space="preserve">J3-ATOM-LEFT      </t>
  </si>
  <si>
    <t xml:space="preserve">R11               </t>
  </si>
  <si>
    <t xml:space="preserve">J4-BATT           </t>
  </si>
  <si>
    <t xml:space="preserve">IC3               </t>
  </si>
  <si>
    <t xml:space="preserve">IC2               </t>
  </si>
  <si>
    <t xml:space="preserve">Q1                </t>
  </si>
  <si>
    <t xml:space="preserve">CHRG              </t>
  </si>
  <si>
    <t xml:space="preserve">FULL              </t>
  </si>
  <si>
    <t xml:space="preserve">L1                </t>
  </si>
  <si>
    <t xml:space="preserve">D3                </t>
  </si>
  <si>
    <t xml:space="preserve">J2-DATA, J2-POWER </t>
  </si>
  <si>
    <t xml:space="preserve">IC4               </t>
  </si>
  <si>
    <t xml:space="preserve">D1, D2            </t>
  </si>
  <si>
    <t xml:space="preserve">VR1               </t>
  </si>
  <si>
    <t xml:space="preserve">IC1               </t>
  </si>
  <si>
    <t xml:space="preserve">IC5               </t>
  </si>
  <si>
    <t xml:space="preserve">J1                </t>
  </si>
  <si>
    <t xml:space="preserve">L2                </t>
  </si>
  <si>
    <t xml:space="preserve">Molex                             </t>
  </si>
  <si>
    <t xml:space="preserve">JST (JAPAN SOLDERLESS TERMINALS)  </t>
  </si>
  <si>
    <t xml:space="preserve">Diodes Incorporated               </t>
  </si>
  <si>
    <t xml:space="preserve">Lite-On                           </t>
  </si>
  <si>
    <t xml:space="preserve">Pulse Electronics                 </t>
  </si>
  <si>
    <t xml:space="preserve">SAMTEC                            </t>
  </si>
  <si>
    <t xml:space="preserve">onsemi                            </t>
  </si>
  <si>
    <t xml:space="preserve">Bourns                            </t>
  </si>
  <si>
    <t xml:space="preserve">TOP POWER                         </t>
  </si>
  <si>
    <t xml:space="preserve">Texas Instruments                 </t>
  </si>
  <si>
    <t xml:space="preserve">GCT (GLOBAL CONNECTOR TECHNOLOGY) </t>
  </si>
  <si>
    <t xml:space="preserve">TDK                               </t>
  </si>
  <si>
    <t xml:space="preserve">87898-0466               </t>
  </si>
  <si>
    <t xml:space="preserve">87898-0552               </t>
  </si>
  <si>
    <t xml:space="preserve">B2B-XH-2-TV4(LF)(SN)     </t>
  </si>
  <si>
    <t xml:space="preserve">DMP1045U-7               </t>
  </si>
  <si>
    <t xml:space="preserve">FS8205A                  </t>
  </si>
  <si>
    <t xml:space="preserve">LTST-C191KRKT            </t>
  </si>
  <si>
    <t xml:space="preserve">LTST-C193TGKT-5A         </t>
  </si>
  <si>
    <t xml:space="preserve">PA4332.222NLT            </t>
  </si>
  <si>
    <t xml:space="preserve">PDS760-13                </t>
  </si>
  <si>
    <t xml:space="preserve">SS34                     </t>
  </si>
  <si>
    <t xml:space="preserve">TPS55340RTER             </t>
  </si>
  <si>
    <t xml:space="preserve">USB4135-GF-A             </t>
  </si>
  <si>
    <t xml:space="preserve">VLS6045AF-220M           </t>
  </si>
  <si>
    <t xml:space="preserve">Headers &amp; Wire Housings 2.54mm SRSW SMT Hd r W/O Cap 2.5SnL 4P                                                      </t>
  </si>
  <si>
    <t xml:space="preserve">Headers &amp; Wire Housings 2.54MM SRSW SMT HDR W/CAPT&amp;R .05AULF5P                                                      </t>
  </si>
  <si>
    <t xml:space="preserve">Headers &amp; Wire Housings XA HEADER ON RADIAL-TAPE (TOP TYPE)                                                         </t>
  </si>
  <si>
    <t xml:space="preserve">P-Channel Enhancement MOSFET SOT-23 Diodes Inc DMP1045U-7 P-channel MOSFET Transistor, 5.2 A, -12 V, 3-Pin SOT23    </t>
  </si>
  <si>
    <t xml:space="preserve">one cell lithium-ion/polymer battery protection IC                                                                  </t>
  </si>
  <si>
    <t xml:space="preserve">dual n-channel enhancement mode power MOFSET                                                                        </t>
  </si>
  <si>
    <t xml:space="preserve">Standard LEDs - SMD Red Clear 631nm                                                                                 </t>
  </si>
  <si>
    <t xml:space="preserve">Standard LEDs - SMD Green 525nm 90mcd 5mA                                                                           </t>
  </si>
  <si>
    <t xml:space="preserve">Inductor Power Shielded Drum Core 2.2uH 20% 1MHz 4.3A 48mOhm DCR 1515 T/R                                           </t>
  </si>
  <si>
    <t xml:space="preserve">Diode Schottky 60V 7A 3Pin PowerDI 5 Diodes Inc PDS760-13, SMT Schottky Diode, 60V 7A, 3-Pin PowerDI 5              </t>
  </si>
  <si>
    <t xml:space="preserve">SAMTEC - RSM-108-02-L-S-TR - PCB Receptacle, Board-to-Board, 1.27 mm, 1 Rows, 8 Contacts, Surface Mount, RSM Series </t>
  </si>
  <si>
    <t xml:space="preserve">ON Semi SS34 SMT Schottky Diode, 40V 3A, 2-Pin DO-214AB                                                             </t>
  </si>
  <si>
    <t xml:space="preserve">TEXAS INSTRUMENTS - TPS55340RTER - DC/DC CONV, BOOST/SEPIC/FLYBACK, WQFN-16                                         </t>
  </si>
  <si>
    <t xml:space="preserve">USB Connectors USBC Rec GF RA 6P SMT-SMT stakes 3.16mm                                                              </t>
  </si>
  <si>
    <t xml:space="preserve">SMD / SMT Inductors (Coils), L=22?H, L x W x T :                                                                    </t>
  </si>
  <si>
    <t xml:space="preserve">R0603                </t>
  </si>
  <si>
    <t xml:space="preserve">C0603                </t>
  </si>
  <si>
    <t xml:space="preserve">878980466            </t>
  </si>
  <si>
    <t xml:space="preserve">878980552            </t>
  </si>
  <si>
    <t xml:space="preserve">B2BXH2TV4LFSN        </t>
  </si>
  <si>
    <t xml:space="preserve">SOT96P240X110-3N     </t>
  </si>
  <si>
    <t xml:space="preserve">LEDC1608X55N         </t>
  </si>
  <si>
    <t xml:space="preserve">LEDC1608X45N         </t>
  </si>
  <si>
    <t xml:space="preserve">INDPM4042X200N       </t>
  </si>
  <si>
    <t xml:space="preserve">PDS76013             </t>
  </si>
  <si>
    <t xml:space="preserve">DIOM8059X256N        </t>
  </si>
  <si>
    <t xml:space="preserve">TC33X2304E           </t>
  </si>
  <si>
    <t xml:space="preserve">QFN50P300X300X80-17N </t>
  </si>
  <si>
    <t xml:space="preserve">USB4135GFA           </t>
  </si>
  <si>
    <t>RT0805BRD0730K5L</t>
  </si>
  <si>
    <t>Thin Film Resistors - SMD 1/8W 30.5K Ohms 0.1%</t>
  </si>
  <si>
    <t>YAGEO</t>
  </si>
  <si>
    <t>GRM21BZ71A226ME15K</t>
  </si>
  <si>
    <t>Multilayer Ceramic Capacitors MLCC - SMD/SMT 22 uF 10 VDC 20% 0805 X7R</t>
  </si>
  <si>
    <t>CRCW0603909RFKEA</t>
  </si>
  <si>
    <t>Vishay / Dale</t>
  </si>
  <si>
    <t xml:space="preserve">Thick Film Resistors - SMD 1/10watt 909ohms 1%                </t>
  </si>
  <si>
    <t>ERJ-U03F1R20V</t>
  </si>
  <si>
    <t>Thick Film Resistors - SMD 0603 1% 1.2ohm AEC-Q200 Anti-Sulfur</t>
  </si>
  <si>
    <t>ERJ-P03F1000V</t>
  </si>
  <si>
    <t>Thick Film Resistors - SMD 0603 100ohms 0.2W 1% AEC-Q200</t>
  </si>
  <si>
    <t>ERJ-3EKF1002V</t>
  </si>
  <si>
    <t>Thick Film Resistors - SMD 0603 10Kohms 1% AEC-Q200</t>
  </si>
  <si>
    <t>ERJ-3RED1103V</t>
  </si>
  <si>
    <t>Thick Film Resistors - SMD 0603 Resistor 0.5% 100ppm 110KOhm</t>
  </si>
  <si>
    <t>ERJ-U03J102V</t>
  </si>
  <si>
    <t>R0805</t>
  </si>
  <si>
    <t>ERJ-3EKF3832V</t>
  </si>
  <si>
    <t>Thick Film Resistors - SMD 0603 38.3Kohms 1% AEC-Q200</t>
  </si>
  <si>
    <t>ERJ-PA3F5101V</t>
  </si>
  <si>
    <t>Thick Film Resistors - SMD 0603 5.1Kohm 1% Anti-Surge AEC-Q200</t>
  </si>
  <si>
    <t>GCM188R71C104KA37J</t>
  </si>
  <si>
    <t>Multilayer Ceramic Capacitors MLCC - SMD/SMT 0.1 uF 16 VDC 10% 0603 X7R AEC-Q200</t>
  </si>
  <si>
    <t>GRM188Z71A106KA73D</t>
  </si>
  <si>
    <t>Multilayer Ceramic Capacitors MLCC - SMD/SMT 10 uF 10 VDC 10% 0603 X7R</t>
  </si>
  <si>
    <t>GCJ188R71E105KA01D</t>
  </si>
  <si>
    <t>Multilayer Ceramic Capacitors MLCC - SMD/SMT 1 uF 25 VDC 10% 0603 X7R AEC-Q200</t>
  </si>
  <si>
    <t>GCM188R71H222KA37D</t>
  </si>
  <si>
    <t>Multilayer Ceramic Capacitors MLCC - SMD/SMT 2200 pF 50 VDC 10% 0603 X7R AEC-Q200</t>
  </si>
  <si>
    <t>C0805</t>
  </si>
  <si>
    <t>GRM32EC81C476KE15L</t>
  </si>
  <si>
    <t>Multilayer Ceramic Capacitors MLCC - SMD/SMT 47 uF 16 VDC 10% 1210 X6S</t>
  </si>
  <si>
    <t>GCJ188R71E683KA12D</t>
  </si>
  <si>
    <t>Multilayer Ceramic Capacitors MLCC - SMD/SMT 0.068 uF 25 VDC 10% 0603 X7R AEC-Q200</t>
  </si>
  <si>
    <t>ERJ-H3EF1502V</t>
  </si>
  <si>
    <t>Thick Film Resistors - SMD 0603 15KOhm 1% AEC-Q200</t>
  </si>
  <si>
    <t>GCJ188R71E223KA01D</t>
  </si>
  <si>
    <t>Multilayer Ceramic Capacitors MLCC - SMD/SMT 0.022 uF 25 VDC 10% 0603 X7R AEC-Q200</t>
  </si>
  <si>
    <t>G1, G2</t>
  </si>
  <si>
    <t>1,6/0,9</t>
  </si>
  <si>
    <t>WIREPAD1,6/0,9</t>
  </si>
  <si>
    <t>Wire PAD connect wire on PCB</t>
  </si>
  <si>
    <t xml:space="preserve">R3        </t>
  </si>
  <si>
    <t xml:space="preserve">R1, R2, R4                </t>
  </si>
  <si>
    <t>TC33X-2-503E</t>
  </si>
  <si>
    <t>Trimmer Resistors - SMD 3MM 50KOHMS 25% 0.1WATT OPEN FRM</t>
  </si>
  <si>
    <t xml:space="preserve">1A Standalone Linear Li-lon Battery Charger with Thermal </t>
  </si>
  <si>
    <t>2,54/0,9</t>
  </si>
  <si>
    <t>WIREPAD2,54/0,9</t>
  </si>
  <si>
    <t>Thick Film Resistors - SMD 0603 1Kohms 5% AEC-Q200</t>
  </si>
  <si>
    <t>C1210</t>
  </si>
  <si>
    <t xml:space="preserve">DW01A                 </t>
  </si>
  <si>
    <t>PJSEMI</t>
  </si>
  <si>
    <t xml:space="preserve">FUXINSEMI           </t>
  </si>
  <si>
    <t>SOT-23-6L</t>
  </si>
  <si>
    <t xml:space="preserve">SOT-23-6  </t>
  </si>
  <si>
    <t xml:space="preserve">RSM-108-02-L-S   </t>
  </si>
  <si>
    <t xml:space="preserve">RSM10802LS / SMD,P=1.27mm         </t>
  </si>
  <si>
    <t>Boost type Adjustable 28V 2A 2V~24V SOT-23-6 DC-DC Converters ROHS</t>
  </si>
  <si>
    <t xml:space="preserve">XI'AN Aerosemi Tech                 </t>
  </si>
  <si>
    <t xml:space="preserve">MT3608       </t>
  </si>
  <si>
    <t>SOT-23-6</t>
  </si>
  <si>
    <t>TP4056-42-ESOP8</t>
  </si>
  <si>
    <t>ESOP-8</t>
  </si>
  <si>
    <t>SMD,6x6mm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</si>
</sst>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8" fillId="0" borderId="1" xfId="0" applyFont="1" applyBorder="1">
      <alignment vertical="center"/>
    </xf>
    <xf numFmtId="49" fontId="8" fillId="0" borderId="1" xfId="0" applyNumberFormat="1" applyFont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7" fillId="0" borderId="0" xfId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662940</xdr:colOff>
      <xdr:row>3</xdr:row>
      <xdr:rowOff>54103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8"/>
  <sheetViews>
    <sheetView tabSelected="1" topLeftCell="A17" zoomScale="90" zoomScaleNormal="90" workbookViewId="0">
      <selection activeCell="G43" sqref="G43"/>
    </sheetView>
  </sheetViews>
  <sheetFormatPr defaultColWidth="9" defaultRowHeight="13.8"/>
  <cols>
    <col min="1" max="1" width="9" style="1"/>
    <col min="2" max="2" width="26.21875" style="16" customWidth="1"/>
    <col min="3" max="3" width="4.88671875" style="1" bestFit="1" customWidth="1"/>
    <col min="4" max="4" width="31.109375" style="1" bestFit="1" customWidth="1"/>
    <col min="5" max="5" width="29.88671875" style="1" customWidth="1"/>
    <col min="6" max="6" width="74.109375" style="1" customWidth="1"/>
    <col min="7" max="7" width="28.33203125" style="1" bestFit="1" customWidth="1"/>
    <col min="8" max="8" width="13.6640625" style="1" customWidth="1"/>
    <col min="9" max="9" width="35.6640625" style="1" customWidth="1"/>
    <col min="10" max="16384" width="9" style="1"/>
  </cols>
  <sheetData>
    <row r="2" spans="1:9">
      <c r="A2" s="23"/>
      <c r="B2" s="23"/>
      <c r="D2" s="22" t="s">
        <v>14</v>
      </c>
      <c r="E2" s="22"/>
      <c r="F2" s="22"/>
    </row>
    <row r="3" spans="1:9">
      <c r="A3" s="23"/>
      <c r="B3" s="23"/>
      <c r="D3" s="22"/>
      <c r="E3" s="22"/>
      <c r="F3" s="22"/>
    </row>
    <row r="4" spans="1:9">
      <c r="D4" s="22"/>
      <c r="E4" s="22"/>
      <c r="F4" s="22"/>
    </row>
    <row r="6" spans="1:9">
      <c r="A6" s="3" t="s">
        <v>0</v>
      </c>
      <c r="B6" s="15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19" t="s">
        <v>148</v>
      </c>
      <c r="C7" s="13">
        <v>1</v>
      </c>
      <c r="D7" s="14" t="s">
        <v>10</v>
      </c>
      <c r="E7" s="14" t="s">
        <v>113</v>
      </c>
      <c r="F7" s="14" t="s">
        <v>114</v>
      </c>
      <c r="G7" s="13" t="s">
        <v>91</v>
      </c>
      <c r="H7" s="8" t="s">
        <v>9</v>
      </c>
      <c r="I7" s="9"/>
    </row>
    <row r="8" spans="1:9">
      <c r="A8" s="6">
        <f>A7+1</f>
        <v>2</v>
      </c>
      <c r="B8" s="19" t="s">
        <v>16</v>
      </c>
      <c r="C8" s="13">
        <v>1</v>
      </c>
      <c r="D8" s="14" t="s">
        <v>10</v>
      </c>
      <c r="E8" s="14" t="s">
        <v>115</v>
      </c>
      <c r="F8" s="14" t="s">
        <v>116</v>
      </c>
      <c r="G8" s="13" t="s">
        <v>91</v>
      </c>
      <c r="H8" s="8" t="s">
        <v>9</v>
      </c>
      <c r="I8" s="9"/>
    </row>
    <row r="9" spans="1:9">
      <c r="A9" s="6">
        <f t="shared" ref="A9:A44" si="0">A8+1</f>
        <v>3</v>
      </c>
      <c r="B9" s="19" t="s">
        <v>17</v>
      </c>
      <c r="C9" s="13">
        <v>3</v>
      </c>
      <c r="D9" s="14" t="s">
        <v>11</v>
      </c>
      <c r="E9" s="14" t="s">
        <v>127</v>
      </c>
      <c r="F9" s="14" t="s">
        <v>128</v>
      </c>
      <c r="G9" s="13" t="s">
        <v>92</v>
      </c>
      <c r="H9" s="8" t="s">
        <v>9</v>
      </c>
      <c r="I9" s="9"/>
    </row>
    <row r="10" spans="1:9">
      <c r="A10" s="6">
        <f t="shared" si="0"/>
        <v>4</v>
      </c>
      <c r="B10" s="19" t="s">
        <v>18</v>
      </c>
      <c r="C10" s="13">
        <v>1</v>
      </c>
      <c r="D10" s="14" t="s">
        <v>10</v>
      </c>
      <c r="E10" s="14" t="s">
        <v>117</v>
      </c>
      <c r="F10" s="14" t="s">
        <v>118</v>
      </c>
      <c r="G10" s="13" t="s">
        <v>91</v>
      </c>
      <c r="H10" s="8" t="s">
        <v>9</v>
      </c>
      <c r="I10" s="9"/>
    </row>
    <row r="11" spans="1:9">
      <c r="A11" s="6">
        <f t="shared" si="0"/>
        <v>5</v>
      </c>
      <c r="B11" s="19" t="s">
        <v>19</v>
      </c>
      <c r="C11" s="13">
        <v>1</v>
      </c>
      <c r="D11" s="14" t="s">
        <v>11</v>
      </c>
      <c r="E11" s="14" t="s">
        <v>129</v>
      </c>
      <c r="F11" s="14" t="s">
        <v>130</v>
      </c>
      <c r="G11" s="13" t="s">
        <v>92</v>
      </c>
      <c r="H11" s="8" t="s">
        <v>9</v>
      </c>
      <c r="I11" s="9"/>
    </row>
    <row r="12" spans="1:9">
      <c r="A12" s="6">
        <f t="shared" si="0"/>
        <v>6</v>
      </c>
      <c r="B12" s="19" t="s">
        <v>20</v>
      </c>
      <c r="C12" s="13">
        <v>1</v>
      </c>
      <c r="D12" s="14" t="s">
        <v>10</v>
      </c>
      <c r="E12" s="14" t="s">
        <v>119</v>
      </c>
      <c r="F12" s="14" t="s">
        <v>120</v>
      </c>
      <c r="G12" s="13" t="s">
        <v>91</v>
      </c>
      <c r="H12" s="8" t="s">
        <v>9</v>
      </c>
      <c r="I12" s="9"/>
    </row>
    <row r="13" spans="1:9">
      <c r="A13" s="6">
        <f t="shared" si="0"/>
        <v>7</v>
      </c>
      <c r="B13" s="19" t="s">
        <v>21</v>
      </c>
      <c r="C13" s="13">
        <v>1</v>
      </c>
      <c r="D13" s="14" t="s">
        <v>10</v>
      </c>
      <c r="E13" s="14" t="s">
        <v>140</v>
      </c>
      <c r="F13" s="14" t="s">
        <v>141</v>
      </c>
      <c r="G13" s="13" t="s">
        <v>91</v>
      </c>
      <c r="H13" s="8" t="s">
        <v>9</v>
      </c>
      <c r="I13" s="9"/>
    </row>
    <row r="14" spans="1:9">
      <c r="A14" s="6">
        <f>A13+1</f>
        <v>8</v>
      </c>
      <c r="B14" s="19" t="s">
        <v>149</v>
      </c>
      <c r="C14" s="13">
        <v>3</v>
      </c>
      <c r="D14" s="14" t="s">
        <v>10</v>
      </c>
      <c r="E14" s="14" t="s">
        <v>121</v>
      </c>
      <c r="F14" s="14" t="s">
        <v>155</v>
      </c>
      <c r="G14" s="13" t="s">
        <v>91</v>
      </c>
      <c r="H14" s="8" t="s">
        <v>9</v>
      </c>
      <c r="I14" s="9"/>
    </row>
    <row r="15" spans="1:9">
      <c r="A15" s="6">
        <f t="shared" si="0"/>
        <v>9</v>
      </c>
      <c r="B15" s="19" t="s">
        <v>22</v>
      </c>
      <c r="C15" s="13">
        <v>1</v>
      </c>
      <c r="D15" s="14" t="s">
        <v>11</v>
      </c>
      <c r="E15" s="14" t="s">
        <v>131</v>
      </c>
      <c r="F15" s="14" t="s">
        <v>132</v>
      </c>
      <c r="G15" s="13" t="s">
        <v>92</v>
      </c>
      <c r="H15" s="8" t="s">
        <v>9</v>
      </c>
      <c r="I15" s="9"/>
    </row>
    <row r="16" spans="1:9">
      <c r="A16" s="6">
        <f t="shared" si="0"/>
        <v>10</v>
      </c>
      <c r="B16" s="19" t="s">
        <v>23</v>
      </c>
      <c r="C16" s="13">
        <v>1</v>
      </c>
      <c r="D16" s="14" t="s">
        <v>11</v>
      </c>
      <c r="E16" s="14" t="s">
        <v>133</v>
      </c>
      <c r="F16" s="14" t="s">
        <v>134</v>
      </c>
      <c r="G16" s="13" t="s">
        <v>92</v>
      </c>
      <c r="H16" s="8" t="s">
        <v>9</v>
      </c>
      <c r="I16" s="9"/>
    </row>
    <row r="17" spans="1:9">
      <c r="A17" s="6">
        <f t="shared" si="0"/>
        <v>11</v>
      </c>
      <c r="B17" s="19" t="s">
        <v>24</v>
      </c>
      <c r="C17" s="13">
        <v>1</v>
      </c>
      <c r="D17" s="14" t="s">
        <v>11</v>
      </c>
      <c r="E17" s="14" t="s">
        <v>142</v>
      </c>
      <c r="F17" s="14" t="s">
        <v>143</v>
      </c>
      <c r="G17" s="13" t="s">
        <v>92</v>
      </c>
      <c r="H17" s="8" t="s">
        <v>9</v>
      </c>
      <c r="I17" s="9"/>
    </row>
    <row r="18" spans="1:9">
      <c r="A18" s="6">
        <f t="shared" si="0"/>
        <v>12</v>
      </c>
      <c r="B18" s="19" t="s">
        <v>25</v>
      </c>
      <c r="C18" s="13">
        <v>3</v>
      </c>
      <c r="D18" s="14" t="s">
        <v>11</v>
      </c>
      <c r="E18" s="14" t="s">
        <v>108</v>
      </c>
      <c r="F18" s="14" t="s">
        <v>109</v>
      </c>
      <c r="G18" s="14" t="s">
        <v>135</v>
      </c>
      <c r="H18" s="8" t="s">
        <v>9</v>
      </c>
      <c r="I18" s="9"/>
    </row>
    <row r="19" spans="1:9">
      <c r="A19" s="6">
        <f t="shared" si="0"/>
        <v>13</v>
      </c>
      <c r="B19" s="19" t="s">
        <v>26</v>
      </c>
      <c r="C19" s="13">
        <v>1</v>
      </c>
      <c r="D19" s="14" t="s">
        <v>107</v>
      </c>
      <c r="E19" s="14" t="s">
        <v>105</v>
      </c>
      <c r="F19" s="14" t="s">
        <v>106</v>
      </c>
      <c r="G19" s="13" t="s">
        <v>122</v>
      </c>
      <c r="H19" s="8" t="s">
        <v>9</v>
      </c>
      <c r="I19" s="9"/>
    </row>
    <row r="20" spans="1:9">
      <c r="A20" s="6">
        <f t="shared" si="0"/>
        <v>14</v>
      </c>
      <c r="B20" s="19" t="s">
        <v>27</v>
      </c>
      <c r="C20" s="13">
        <v>1</v>
      </c>
      <c r="D20" s="14" t="s">
        <v>10</v>
      </c>
      <c r="E20" s="14" t="s">
        <v>123</v>
      </c>
      <c r="F20" s="14" t="s">
        <v>124</v>
      </c>
      <c r="G20" s="13" t="s">
        <v>91</v>
      </c>
      <c r="H20" s="8" t="s">
        <v>9</v>
      </c>
      <c r="I20" s="9"/>
    </row>
    <row r="21" spans="1:9">
      <c r="A21" s="6">
        <f t="shared" si="0"/>
        <v>15</v>
      </c>
      <c r="B21" s="19" t="s">
        <v>28</v>
      </c>
      <c r="C21" s="13">
        <v>1</v>
      </c>
      <c r="D21" s="14" t="s">
        <v>11</v>
      </c>
      <c r="E21" s="14" t="s">
        <v>136</v>
      </c>
      <c r="F21" s="14" t="s">
        <v>137</v>
      </c>
      <c r="G21" s="13" t="s">
        <v>156</v>
      </c>
      <c r="H21" s="8" t="s">
        <v>9</v>
      </c>
      <c r="I21" s="9"/>
    </row>
    <row r="22" spans="1:9">
      <c r="A22" s="6">
        <f t="shared" si="0"/>
        <v>16</v>
      </c>
      <c r="B22" s="19" t="s">
        <v>30</v>
      </c>
      <c r="C22" s="13">
        <v>2</v>
      </c>
      <c r="D22" s="14" t="s">
        <v>10</v>
      </c>
      <c r="E22" s="14" t="s">
        <v>125</v>
      </c>
      <c r="F22" s="14" t="s">
        <v>126</v>
      </c>
      <c r="G22" s="13" t="s">
        <v>91</v>
      </c>
      <c r="H22" s="8" t="s">
        <v>9</v>
      </c>
      <c r="I22" s="9"/>
    </row>
    <row r="23" spans="1:9">
      <c r="A23" s="6">
        <f t="shared" si="0"/>
        <v>17</v>
      </c>
      <c r="B23" s="19" t="s">
        <v>31</v>
      </c>
      <c r="C23" s="13">
        <v>1</v>
      </c>
      <c r="D23" s="14" t="s">
        <v>11</v>
      </c>
      <c r="E23" s="14" t="s">
        <v>138</v>
      </c>
      <c r="F23" s="14" t="s">
        <v>139</v>
      </c>
      <c r="G23" s="13" t="s">
        <v>92</v>
      </c>
      <c r="H23" s="8" t="s">
        <v>9</v>
      </c>
      <c r="I23" s="9"/>
    </row>
    <row r="24" spans="1:9">
      <c r="A24" s="6">
        <f t="shared" si="0"/>
        <v>18</v>
      </c>
      <c r="B24" s="19" t="s">
        <v>32</v>
      </c>
      <c r="C24" s="13">
        <v>1</v>
      </c>
      <c r="D24" s="14" t="s">
        <v>51</v>
      </c>
      <c r="E24" s="14" t="s">
        <v>63</v>
      </c>
      <c r="F24" s="14" t="s">
        <v>76</v>
      </c>
      <c r="G24" s="13" t="s">
        <v>93</v>
      </c>
      <c r="H24" s="8" t="s">
        <v>9</v>
      </c>
      <c r="I24" s="9"/>
    </row>
    <row r="25" spans="1:9">
      <c r="A25" s="6">
        <f t="shared" si="0"/>
        <v>19</v>
      </c>
      <c r="B25" s="19" t="s">
        <v>33</v>
      </c>
      <c r="C25" s="13">
        <v>1</v>
      </c>
      <c r="D25" s="14" t="s">
        <v>51</v>
      </c>
      <c r="E25" s="14" t="s">
        <v>64</v>
      </c>
      <c r="F25" s="14" t="s">
        <v>77</v>
      </c>
      <c r="G25" s="13" t="s">
        <v>94</v>
      </c>
      <c r="H25" s="8" t="s">
        <v>9</v>
      </c>
      <c r="I25" s="9"/>
    </row>
    <row r="26" spans="1:9">
      <c r="A26" s="6">
        <f t="shared" si="0"/>
        <v>20</v>
      </c>
      <c r="B26" s="19" t="s">
        <v>34</v>
      </c>
      <c r="C26" s="13">
        <v>1</v>
      </c>
      <c r="D26" s="14" t="s">
        <v>111</v>
      </c>
      <c r="E26" s="14" t="s">
        <v>110</v>
      </c>
      <c r="F26" s="14" t="s">
        <v>112</v>
      </c>
      <c r="G26" s="13" t="s">
        <v>91</v>
      </c>
      <c r="H26" s="8" t="s">
        <v>9</v>
      </c>
      <c r="I26" s="9"/>
    </row>
    <row r="27" spans="1:9">
      <c r="A27" s="6">
        <f t="shared" si="0"/>
        <v>21</v>
      </c>
      <c r="B27" s="19" t="s">
        <v>35</v>
      </c>
      <c r="C27" s="13">
        <v>1</v>
      </c>
      <c r="D27" s="14" t="s">
        <v>52</v>
      </c>
      <c r="E27" s="14" t="s">
        <v>65</v>
      </c>
      <c r="F27" s="14" t="s">
        <v>78</v>
      </c>
      <c r="G27" s="13" t="s">
        <v>95</v>
      </c>
      <c r="H27" s="8" t="s">
        <v>9</v>
      </c>
      <c r="I27" s="9"/>
    </row>
    <row r="28" spans="1:9">
      <c r="A28" s="6">
        <f t="shared" si="0"/>
        <v>22</v>
      </c>
      <c r="B28" s="19" t="s">
        <v>36</v>
      </c>
      <c r="C28" s="13">
        <v>1</v>
      </c>
      <c r="D28" s="14" t="s">
        <v>53</v>
      </c>
      <c r="E28" s="14" t="s">
        <v>66</v>
      </c>
      <c r="F28" s="14" t="s">
        <v>79</v>
      </c>
      <c r="G28" s="13" t="s">
        <v>96</v>
      </c>
      <c r="H28" s="8" t="s">
        <v>9</v>
      </c>
      <c r="I28" s="9"/>
    </row>
    <row r="29" spans="1:9">
      <c r="A29" s="6">
        <f t="shared" si="0"/>
        <v>23</v>
      </c>
      <c r="B29" s="19" t="s">
        <v>37</v>
      </c>
      <c r="C29" s="13">
        <v>1</v>
      </c>
      <c r="D29" s="14" t="s">
        <v>158</v>
      </c>
      <c r="E29" s="14" t="s">
        <v>157</v>
      </c>
      <c r="F29" s="14" t="s">
        <v>80</v>
      </c>
      <c r="G29" s="13" t="s">
        <v>161</v>
      </c>
      <c r="H29" s="8" t="s">
        <v>9</v>
      </c>
      <c r="I29" s="9"/>
    </row>
    <row r="30" spans="1:9">
      <c r="A30" s="6">
        <f t="shared" si="0"/>
        <v>24</v>
      </c>
      <c r="B30" s="19" t="s">
        <v>38</v>
      </c>
      <c r="C30" s="13">
        <v>1</v>
      </c>
      <c r="D30" s="14" t="s">
        <v>159</v>
      </c>
      <c r="E30" s="14" t="s">
        <v>67</v>
      </c>
      <c r="F30" s="14" t="s">
        <v>81</v>
      </c>
      <c r="G30" s="13" t="s">
        <v>160</v>
      </c>
      <c r="H30" s="8" t="s">
        <v>9</v>
      </c>
      <c r="I30" s="9"/>
    </row>
    <row r="31" spans="1:9">
      <c r="A31" s="6">
        <f t="shared" si="0"/>
        <v>25</v>
      </c>
      <c r="B31" s="19" t="s">
        <v>39</v>
      </c>
      <c r="C31" s="13">
        <v>1</v>
      </c>
      <c r="D31" s="14" t="s">
        <v>54</v>
      </c>
      <c r="E31" s="14" t="s">
        <v>68</v>
      </c>
      <c r="F31" s="14" t="s">
        <v>82</v>
      </c>
      <c r="G31" s="13" t="s">
        <v>97</v>
      </c>
      <c r="H31" s="8" t="s">
        <v>9</v>
      </c>
      <c r="I31" s="9"/>
    </row>
    <row r="32" spans="1:9">
      <c r="A32" s="6">
        <f t="shared" si="0"/>
        <v>26</v>
      </c>
      <c r="B32" s="19" t="s">
        <v>40</v>
      </c>
      <c r="C32" s="13">
        <v>1</v>
      </c>
      <c r="D32" s="14" t="s">
        <v>54</v>
      </c>
      <c r="E32" s="14" t="s">
        <v>69</v>
      </c>
      <c r="F32" s="14" t="s">
        <v>83</v>
      </c>
      <c r="G32" s="13" t="s">
        <v>98</v>
      </c>
      <c r="H32" s="8" t="s">
        <v>9</v>
      </c>
      <c r="I32" s="9"/>
    </row>
    <row r="33" spans="1:9">
      <c r="A33" s="6">
        <f t="shared" si="0"/>
        <v>27</v>
      </c>
      <c r="B33" s="19" t="s">
        <v>41</v>
      </c>
      <c r="C33" s="13">
        <v>1</v>
      </c>
      <c r="D33" s="14" t="s">
        <v>55</v>
      </c>
      <c r="E33" s="14" t="s">
        <v>70</v>
      </c>
      <c r="F33" s="14" t="s">
        <v>84</v>
      </c>
      <c r="G33" s="13" t="s">
        <v>99</v>
      </c>
      <c r="H33" s="8" t="s">
        <v>9</v>
      </c>
      <c r="I33" s="9"/>
    </row>
    <row r="34" spans="1:9">
      <c r="A34" s="6">
        <f t="shared" si="0"/>
        <v>28</v>
      </c>
      <c r="B34" s="19" t="s">
        <v>42</v>
      </c>
      <c r="C34" s="13">
        <v>1</v>
      </c>
      <c r="D34" s="14" t="s">
        <v>53</v>
      </c>
      <c r="E34" s="14" t="s">
        <v>71</v>
      </c>
      <c r="F34" s="14" t="s">
        <v>85</v>
      </c>
      <c r="G34" s="13" t="s">
        <v>100</v>
      </c>
      <c r="H34" s="8" t="s">
        <v>9</v>
      </c>
      <c r="I34" s="9"/>
    </row>
    <row r="35" spans="1:9">
      <c r="A35" s="6">
        <f t="shared" si="0"/>
        <v>29</v>
      </c>
      <c r="B35" s="19" t="s">
        <v>43</v>
      </c>
      <c r="C35" s="13">
        <v>2</v>
      </c>
      <c r="D35" s="14" t="s">
        <v>56</v>
      </c>
      <c r="E35" s="14" t="s">
        <v>162</v>
      </c>
      <c r="F35" s="14" t="s">
        <v>86</v>
      </c>
      <c r="G35" s="13" t="s">
        <v>163</v>
      </c>
      <c r="H35" s="8" t="s">
        <v>9</v>
      </c>
      <c r="I35" s="9"/>
    </row>
    <row r="36" spans="1:9">
      <c r="A36" s="6">
        <f t="shared" si="0"/>
        <v>30</v>
      </c>
      <c r="B36" s="19" t="s">
        <v>44</v>
      </c>
      <c r="C36" s="13">
        <v>1</v>
      </c>
      <c r="D36" s="14" t="s">
        <v>165</v>
      </c>
      <c r="E36" s="14" t="s">
        <v>166</v>
      </c>
      <c r="F36" s="14" t="s">
        <v>164</v>
      </c>
      <c r="G36" s="13" t="s">
        <v>167</v>
      </c>
      <c r="H36" s="8" t="s">
        <v>9</v>
      </c>
      <c r="I36" s="9"/>
    </row>
    <row r="37" spans="1:9">
      <c r="A37" s="6">
        <f t="shared" si="0"/>
        <v>31</v>
      </c>
      <c r="B37" s="19" t="s">
        <v>45</v>
      </c>
      <c r="C37" s="13">
        <v>2</v>
      </c>
      <c r="D37" s="14" t="s">
        <v>57</v>
      </c>
      <c r="E37" s="14" t="s">
        <v>72</v>
      </c>
      <c r="F37" s="14" t="s">
        <v>87</v>
      </c>
      <c r="G37" s="13" t="s">
        <v>101</v>
      </c>
      <c r="H37" s="8" t="s">
        <v>9</v>
      </c>
      <c r="I37" s="9"/>
    </row>
    <row r="38" spans="1:9">
      <c r="A38" s="6">
        <f t="shared" si="0"/>
        <v>32</v>
      </c>
      <c r="B38" s="19" t="s">
        <v>46</v>
      </c>
      <c r="C38" s="13">
        <v>1</v>
      </c>
      <c r="D38" s="14" t="s">
        <v>58</v>
      </c>
      <c r="E38" s="14" t="s">
        <v>150</v>
      </c>
      <c r="F38" s="14" t="s">
        <v>151</v>
      </c>
      <c r="G38" s="13" t="s">
        <v>102</v>
      </c>
      <c r="H38" s="8" t="s">
        <v>9</v>
      </c>
      <c r="I38" s="9"/>
    </row>
    <row r="39" spans="1:9">
      <c r="A39" s="6">
        <f t="shared" si="0"/>
        <v>33</v>
      </c>
      <c r="B39" s="19" t="s">
        <v>47</v>
      </c>
      <c r="C39" s="13">
        <v>1</v>
      </c>
      <c r="D39" s="14" t="s">
        <v>59</v>
      </c>
      <c r="E39" s="14" t="s">
        <v>168</v>
      </c>
      <c r="F39" s="14" t="s">
        <v>152</v>
      </c>
      <c r="G39" s="13" t="s">
        <v>169</v>
      </c>
      <c r="H39" s="8" t="s">
        <v>9</v>
      </c>
      <c r="I39" s="9"/>
    </row>
    <row r="40" spans="1:9">
      <c r="A40" s="6">
        <f t="shared" si="0"/>
        <v>34</v>
      </c>
      <c r="B40" s="19" t="s">
        <v>48</v>
      </c>
      <c r="C40" s="13">
        <v>1</v>
      </c>
      <c r="D40" s="14" t="s">
        <v>60</v>
      </c>
      <c r="E40" s="14" t="s">
        <v>73</v>
      </c>
      <c r="F40" s="14" t="s">
        <v>88</v>
      </c>
      <c r="G40" s="13" t="s">
        <v>103</v>
      </c>
      <c r="H40" s="8" t="s">
        <v>9</v>
      </c>
      <c r="I40" s="9"/>
    </row>
    <row r="41" spans="1:9">
      <c r="A41" s="6">
        <f t="shared" si="0"/>
        <v>35</v>
      </c>
      <c r="B41" s="19" t="s">
        <v>49</v>
      </c>
      <c r="C41" s="13">
        <v>1</v>
      </c>
      <c r="D41" s="14" t="s">
        <v>61</v>
      </c>
      <c r="E41" s="14" t="s">
        <v>74</v>
      </c>
      <c r="F41" s="14" t="s">
        <v>89</v>
      </c>
      <c r="G41" s="13" t="s">
        <v>104</v>
      </c>
      <c r="H41" s="8" t="s">
        <v>9</v>
      </c>
      <c r="I41" s="9"/>
    </row>
    <row r="42" spans="1:9">
      <c r="A42" s="6">
        <f t="shared" si="0"/>
        <v>36</v>
      </c>
      <c r="B42" s="19" t="s">
        <v>50</v>
      </c>
      <c r="C42" s="13">
        <v>1</v>
      </c>
      <c r="D42" s="14" t="s">
        <v>62</v>
      </c>
      <c r="E42" s="14" t="s">
        <v>75</v>
      </c>
      <c r="F42" s="14" t="s">
        <v>90</v>
      </c>
      <c r="G42" s="13" t="s">
        <v>170</v>
      </c>
      <c r="H42" s="8" t="s">
        <v>9</v>
      </c>
      <c r="I42" s="9"/>
    </row>
    <row r="43" spans="1:9">
      <c r="A43" s="6">
        <f t="shared" si="0"/>
        <v>37</v>
      </c>
      <c r="B43" s="19" t="s">
        <v>144</v>
      </c>
      <c r="C43" s="13">
        <v>2</v>
      </c>
      <c r="D43" s="13"/>
      <c r="E43" s="13" t="s">
        <v>146</v>
      </c>
      <c r="F43" s="13" t="s">
        <v>147</v>
      </c>
      <c r="G43" s="13" t="s">
        <v>145</v>
      </c>
      <c r="H43" s="8" t="s">
        <v>15</v>
      </c>
      <c r="I43" s="9"/>
    </row>
    <row r="44" spans="1:9">
      <c r="A44" s="6">
        <f t="shared" si="0"/>
        <v>38</v>
      </c>
      <c r="B44" s="19" t="s">
        <v>29</v>
      </c>
      <c r="C44" s="13">
        <v>4</v>
      </c>
      <c r="D44" s="13"/>
      <c r="E44" s="13" t="s">
        <v>154</v>
      </c>
      <c r="F44" s="13" t="s">
        <v>147</v>
      </c>
      <c r="G44" s="13" t="s">
        <v>153</v>
      </c>
      <c r="H44" s="8" t="s">
        <v>15</v>
      </c>
      <c r="I44" s="9"/>
    </row>
    <row r="45" spans="1:9">
      <c r="A45" s="6"/>
      <c r="B45" s="19"/>
      <c r="C45" s="13"/>
      <c r="D45" s="13"/>
      <c r="E45" s="13"/>
      <c r="F45" s="13"/>
      <c r="G45" s="13"/>
      <c r="H45" s="8"/>
      <c r="I45" s="9"/>
    </row>
    <row r="46" spans="1:9">
      <c r="A46" s="6"/>
      <c r="B46" s="19"/>
      <c r="C46" s="13"/>
      <c r="D46" s="14"/>
      <c r="E46" s="14"/>
      <c r="F46" s="14"/>
      <c r="G46" s="13"/>
      <c r="H46" s="8"/>
      <c r="I46" s="9"/>
    </row>
    <row r="47" spans="1:9">
      <c r="A47" s="6"/>
      <c r="B47" s="19"/>
      <c r="C47" s="13"/>
      <c r="D47" s="13"/>
      <c r="E47" s="13"/>
      <c r="F47" s="13"/>
      <c r="G47" s="13"/>
      <c r="H47" s="8"/>
      <c r="I47" s="9"/>
    </row>
    <row r="48" spans="1:9">
      <c r="A48" s="6"/>
      <c r="B48" s="17"/>
      <c r="C48" s="6"/>
      <c r="D48" s="7"/>
      <c r="E48" s="7"/>
      <c r="F48" s="7"/>
      <c r="G48" s="11"/>
      <c r="H48" s="10"/>
      <c r="I48" s="10"/>
    </row>
    <row r="49" spans="1:9">
      <c r="A49" s="6"/>
      <c r="B49" s="17"/>
      <c r="C49" s="6"/>
      <c r="D49" s="7"/>
      <c r="E49" s="7"/>
      <c r="F49" s="7"/>
      <c r="G49" s="11"/>
      <c r="H49" s="9"/>
      <c r="I49" s="9"/>
    </row>
    <row r="50" spans="1:9">
      <c r="A50" s="6"/>
      <c r="B50" s="17"/>
      <c r="C50" s="6"/>
      <c r="D50" s="7"/>
      <c r="E50" s="7"/>
      <c r="F50" s="8"/>
      <c r="G50" s="11"/>
      <c r="H50" s="9"/>
      <c r="I50" s="9"/>
    </row>
    <row r="51" spans="1:9">
      <c r="A51" s="6"/>
      <c r="B51" s="17"/>
      <c r="C51" s="6"/>
      <c r="D51" s="7"/>
      <c r="E51" s="7"/>
      <c r="F51" s="7"/>
      <c r="G51" s="11"/>
      <c r="H51" s="9"/>
      <c r="I51" s="9"/>
    </row>
    <row r="52" spans="1:9">
      <c r="A52" s="6"/>
      <c r="B52" s="17"/>
      <c r="C52" s="6"/>
      <c r="D52" s="7"/>
      <c r="E52" s="7"/>
      <c r="F52" s="7"/>
      <c r="G52" s="11"/>
      <c r="H52" s="9"/>
      <c r="I52" s="9"/>
    </row>
    <row r="53" spans="1:9">
      <c r="A53" s="6"/>
      <c r="B53" s="17"/>
      <c r="C53" s="6"/>
      <c r="D53" s="7"/>
      <c r="E53" s="7"/>
      <c r="F53" s="8"/>
      <c r="G53" s="11"/>
      <c r="H53" s="9"/>
      <c r="I53" s="9"/>
    </row>
    <row r="56" spans="1:9" ht="14.4">
      <c r="A56" s="20" t="s">
        <v>12</v>
      </c>
      <c r="B56" s="20"/>
      <c r="C56" s="20"/>
      <c r="D56" s="20"/>
      <c r="E56" s="20"/>
      <c r="F56" s="20"/>
      <c r="G56" s="20"/>
      <c r="H56" s="20"/>
      <c r="I56" s="20"/>
    </row>
    <row r="57" spans="1:9" ht="14.4">
      <c r="A57" s="12"/>
      <c r="B57" s="18"/>
      <c r="C57" s="12"/>
      <c r="D57" s="12"/>
      <c r="E57" s="12"/>
      <c r="F57" s="12"/>
      <c r="G57" s="12"/>
      <c r="H57" s="12"/>
      <c r="I57" s="12"/>
    </row>
    <row r="58" spans="1:9" s="2" customFormat="1" ht="14.4">
      <c r="A58" s="21" t="s">
        <v>13</v>
      </c>
      <c r="B58" s="21"/>
      <c r="C58" s="21"/>
      <c r="D58" s="21"/>
      <c r="E58" s="21"/>
      <c r="F58" s="21"/>
      <c r="G58" s="21"/>
      <c r="H58" s="21"/>
      <c r="I58" s="21"/>
    </row>
  </sheetData>
  <autoFilter ref="A6:I44" xr:uid="{00000000-0001-0000-0000-000000000000}"/>
  <mergeCells count="4">
    <mergeCell ref="A56:I56"/>
    <mergeCell ref="A58:I58"/>
    <mergeCell ref="D2:F4"/>
    <mergeCell ref="A2:B3"/>
  </mergeCells>
  <hyperlinks>
    <hyperlink ref="A58" r:id="rId1" xr:uid="{00000000-0004-0000-0000-000000000000}"/>
    <hyperlink ref="A56" display="Need a quick and accurante quote? Need an efficient production? Please read SMT Ordering Necessary Files &amp; Info in 1 minute. Thank you very much!" xr:uid="{00000000-0004-0000-0000-000001000000}"/>
    <hyperlink ref="A56:I56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scale="53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A07C3E-0EC5-4DFB-90FA-9565E0C4AF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Navatta</dc:creator>
  <cp:lastModifiedBy>Alberto Navatta</cp:lastModifiedBy>
  <cp:lastPrinted>2022-10-12T14:17:32Z</cp:lastPrinted>
  <dcterms:created xsi:type="dcterms:W3CDTF">2006-09-13T11:21:00Z</dcterms:created>
  <dcterms:modified xsi:type="dcterms:W3CDTF">2025-02-14T00:30:18Z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